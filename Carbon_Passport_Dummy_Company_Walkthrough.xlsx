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rt\OneDrive\Desktop\"/>
    </mc:Choice>
  </mc:AlternateContent>
  <xr:revisionPtr revIDLastSave="0" documentId="13_ncr:1_{0B5126B4-E49C-4485-BE1D-39C5538673E1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Menu Flow" sheetId="1" r:id="rId1"/>
    <sheet name="Company Setup" sheetId="2" r:id="rId2"/>
    <sheet name="Sheet2" sheetId="7" r:id="rId3"/>
    <sheet name="Materials and Batch" sheetId="3" r:id="rId4"/>
    <sheet name="Emissions" sheetId="4" r:id="rId5"/>
    <sheet name="Review and Shipmen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B16" i="4"/>
  <c r="C11" i="4"/>
  <c r="G11" i="4" s="1"/>
  <c r="B18" i="4" s="1"/>
  <c r="C10" i="4"/>
  <c r="G10" i="4" s="1"/>
  <c r="C9" i="4"/>
  <c r="G9" i="4" s="1"/>
  <c r="C8" i="4"/>
  <c r="G8" i="4" s="1"/>
  <c r="B21" i="4" s="1"/>
  <c r="C7" i="4"/>
  <c r="G7" i="4" s="1"/>
  <c r="C6" i="4"/>
  <c r="G6" i="4" s="1"/>
  <c r="D11" i="3"/>
  <c r="D10" i="3"/>
  <c r="B15" i="4" l="1"/>
  <c r="B19" i="4" l="1"/>
  <c r="B20" i="4" s="1"/>
  <c r="C19" i="5" s="1"/>
  <c r="B17" i="4"/>
  <c r="C22" i="5" l="1"/>
  <c r="C13" i="5"/>
</calcChain>
</file>

<file path=xl/sharedStrings.xml><?xml version="1.0" encoding="utf-8"?>
<sst xmlns="http://schemas.openxmlformats.org/spreadsheetml/2006/main" count="397" uniqueCount="277">
  <si>
    <t>Carbon Passport demo walkthrough</t>
  </si>
  <si>
    <t>Synthetic PoC data only. Update yellow cells. Calculated outputs use formulas.</t>
  </si>
  <si>
    <t>Step</t>
  </si>
  <si>
    <t>Menu</t>
  </si>
  <si>
    <t>Action</t>
  </si>
  <si>
    <t>What to enter or provide</t>
  </si>
  <si>
    <t>What you get</t>
  </si>
  <si>
    <t>Workbook reference</t>
  </si>
  <si>
    <t>Your progress</t>
  </si>
  <si>
    <t>1</t>
  </si>
  <si>
    <t>Organisation</t>
  </si>
  <si>
    <t>Register company and facility</t>
  </si>
  <si>
    <t>Use Company Setup. Add assets and processes.</t>
  </si>
  <si>
    <t>Organisation, facility and product IDs.</t>
  </si>
  <si>
    <t>Company Setup</t>
  </si>
  <si>
    <t>Not started</t>
  </si>
  <si>
    <t>2</t>
  </si>
  <si>
    <t>Value Chain</t>
  </si>
  <si>
    <t>Add suppliers and receipts</t>
  </si>
  <si>
    <t>Create two suppliers and receive material lots.</t>
  </si>
  <si>
    <t>Traceable materials and stock balances.</t>
  </si>
  <si>
    <t>Materials and Batch</t>
  </si>
  <si>
    <t>3</t>
  </si>
  <si>
    <t>Data</t>
  </si>
  <si>
    <t>Create batch and activities</t>
  </si>
  <si>
    <t>Record consumption, output, electricity, diesel and freight.</t>
  </si>
  <si>
    <t>Validated batch activities and evidence references.</t>
  </si>
  <si>
    <t>4</t>
  </si>
  <si>
    <t>Administration</t>
  </si>
  <si>
    <t>Load demo factors</t>
  </si>
  <si>
    <t>Use factors labelled Synthetic PoC factor, version DEMO-EF-v1.</t>
  </si>
  <si>
    <t>Factors available for calculation.</t>
  </si>
  <si>
    <t>Emissions</t>
  </si>
  <si>
    <t>5</t>
  </si>
  <si>
    <t>Carbon Accounting</t>
  </si>
  <si>
    <t>Calculate period emissions</t>
  </si>
  <si>
    <t>October 2026; this one batch contains all demo period activity.</t>
  </si>
  <si>
    <t>Scope totals and inventory.</t>
  </si>
  <si>
    <t>6</t>
  </si>
  <si>
    <t>PCF</t>
  </si>
  <si>
    <t>Calculate batch footprint</t>
  </si>
  <si>
    <t>Cradle to plant gate; assign all listed activities to the batch; no scrap credit.</t>
  </si>
  <si>
    <t>1,222 kgCO2e total and 1.222 kgCO2e/kg at seed inputs.</t>
  </si>
  <si>
    <t>7</t>
  </si>
  <si>
    <t>CBAM</t>
  </si>
  <si>
    <t>Assess applicability</t>
  </si>
  <si>
    <t>India to Germany; classification pending. Do not copy PCF into CBAM.</t>
  </si>
  <si>
    <t>Needs classification assessment.</t>
  </si>
  <si>
    <t>Review and Shipment</t>
  </si>
  <si>
    <t>8</t>
  </si>
  <si>
    <t>MRV and Verification</t>
  </si>
  <si>
    <t>Submit and review</t>
  </si>
  <si>
    <t>Operator submits evidence; Demo Verifier reviews exact calculation version.</t>
  </si>
  <si>
    <t>Approved demo snapshot or changes requested.</t>
  </si>
  <si>
    <t>9</t>
  </si>
  <si>
    <t>Carbon Passports</t>
  </si>
  <si>
    <t>Issue and verify</t>
  </si>
  <si>
    <t>Readiness, Preview, Sign and Issue, Registry, Detail, QR, Versions.</t>
  </si>
  <si>
    <t>DEMO-CP-001 after approval; public verification page.</t>
  </si>
  <si>
    <t>10</t>
  </si>
  <si>
    <t>Record shipment</t>
  </si>
  <si>
    <t>Link batch and passport; enter shipped mass and freight activity.</t>
  </si>
  <si>
    <t>Shipment record and separate delivery extension.</t>
  </si>
  <si>
    <t>11</t>
  </si>
  <si>
    <t>Analytics</t>
  </si>
  <si>
    <t>Inspect contributions</t>
  </si>
  <si>
    <t>Compare electricity, inputs, diesel and freight.</t>
  </si>
  <si>
    <t>Emissions hotspots and manufacturing intensity.</t>
  </si>
  <si>
    <t>12</t>
  </si>
  <si>
    <t>Government Policy</t>
  </si>
  <si>
    <t>Review requirements</t>
  </si>
  <si>
    <t>Origin India, destination Germany, generic category; assess classification.</t>
  </si>
  <si>
    <t>Requirements and unresolved applicability.</t>
  </si>
  <si>
    <t>13</t>
  </si>
  <si>
    <t>Paris Alignment</t>
  </si>
  <si>
    <t>Add illustrative target</t>
  </si>
  <si>
    <t>Baseline 2026; target 2030; 1.000 kgCO2e/kg; reduce electricity use.</t>
  </si>
  <si>
    <t>Self-reported demo target and progress record.</t>
  </si>
  <si>
    <t>14</t>
  </si>
  <si>
    <t>Home</t>
  </si>
  <si>
    <t>Confirm completion</t>
  </si>
  <si>
    <t>Review current records and missing actions.</t>
  </si>
  <si>
    <t>One organisation, plant, batch and approved passport after completing actions.</t>
  </si>
  <si>
    <t>All sheets</t>
  </si>
  <si>
    <t>Dummy company facility and product</t>
  </si>
  <si>
    <t>Record</t>
  </si>
  <si>
    <t>Field</t>
  </si>
  <si>
    <t>Value</t>
  </si>
  <si>
    <t>Company</t>
  </si>
  <si>
    <t>Company name</t>
  </si>
  <si>
    <t>GreenBridge Manufacturing Pvt Ltd</t>
  </si>
  <si>
    <t>Company code</t>
  </si>
  <si>
    <t>DEMO-ORG-001</t>
  </si>
  <si>
    <t>Country</t>
  </si>
  <si>
    <t>India</t>
  </si>
  <si>
    <t>Industry</t>
  </si>
  <si>
    <t>General Manufacturing</t>
  </si>
  <si>
    <t>Address</t>
  </si>
  <si>
    <t>Demo Industrial Estate, Hyderabad, Telangana</t>
  </si>
  <si>
    <t>Registration</t>
  </si>
  <si>
    <t>DEMO-REG-001</t>
  </si>
  <si>
    <t>Tax identifier</t>
  </si>
  <si>
    <t>Leave blank or use supported demo placeholder</t>
  </si>
  <si>
    <t>Contact</t>
  </si>
  <si>
    <t>Demo Company Administrator</t>
  </si>
  <si>
    <t>Email</t>
  </si>
  <si>
    <t>admin@example.com</t>
  </si>
  <si>
    <t>Reporting year</t>
  </si>
  <si>
    <t>Currency</t>
  </si>
  <si>
    <t>INR</t>
  </si>
  <si>
    <t>Export market</t>
  </si>
  <si>
    <t>Germany, European Union</t>
  </si>
  <si>
    <t>Facility</t>
  </si>
  <si>
    <t>Facility name</t>
  </si>
  <si>
    <t>GreenBridge Hyderabad Plant</t>
  </si>
  <si>
    <t>Facility code</t>
  </si>
  <si>
    <t>DEMO-FAC-001</t>
  </si>
  <si>
    <t>Location</t>
  </si>
  <si>
    <t>Hyderabad, India</t>
  </si>
  <si>
    <t>Timezone</t>
  </si>
  <si>
    <t>Asia/Kolkata</t>
  </si>
  <si>
    <t>Processes</t>
  </si>
  <si>
    <t>Material preparation; manufacturing; finishing; packaging</t>
  </si>
  <si>
    <t>Assets</t>
  </si>
  <si>
    <t>Production Line 01; Main Electricity Meter; Diesel Generator</t>
  </si>
  <si>
    <t>Product</t>
  </si>
  <si>
    <t>Product name</t>
  </si>
  <si>
    <t>Manufactured Component A</t>
  </si>
  <si>
    <t>Product code</t>
  </si>
  <si>
    <t>DEMO-PROD-001</t>
  </si>
  <si>
    <t>Category</t>
  </si>
  <si>
    <t>General manufactured goods</t>
  </si>
  <si>
    <t>Unit</t>
  </si>
  <si>
    <t>kg</t>
  </si>
  <si>
    <t>Declared unit</t>
  </si>
  <si>
    <t>1 kg of finished product</t>
  </si>
  <si>
    <t>Classification</t>
  </si>
  <si>
    <t>Pending assessment</t>
  </si>
  <si>
    <t>Boundary</t>
  </si>
  <si>
    <t>Cradle to plant gate</t>
  </si>
  <si>
    <t>Procurement and production records</t>
  </si>
  <si>
    <t>Field or supplier</t>
  </si>
  <si>
    <t>ID or value</t>
  </si>
  <si>
    <t>Quantity</t>
  </si>
  <si>
    <t>Purpose or evidence</t>
  </si>
  <si>
    <t>Material</t>
  </si>
  <si>
    <t>Demo Materials Supplier</t>
  </si>
  <si>
    <t>LOT-MAT-001</t>
  </si>
  <si>
    <t>Input Material A received; India; DEMO-INV-001</t>
  </si>
  <si>
    <t>Demo Packaging Supplier</t>
  </si>
  <si>
    <t>LOT-PACK-001</t>
  </si>
  <si>
    <t>Packaging received; India; DEMO-INV-002</t>
  </si>
  <si>
    <t>Consumption</t>
  </si>
  <si>
    <t>Input Material A</t>
  </si>
  <si>
    <t>Assigned to DEMO-BATCH-001</t>
  </si>
  <si>
    <t>Packaging</t>
  </si>
  <si>
    <t>Stock</t>
  </si>
  <si>
    <t>Input Material A balance</t>
  </si>
  <si>
    <t>Received less consumed</t>
  </si>
  <si>
    <t>Packaging balance</t>
  </si>
  <si>
    <t>Batch</t>
  </si>
  <si>
    <t>Batch code</t>
  </si>
  <si>
    <t>DEMO-BATCH-001</t>
  </si>
  <si>
    <t>Product DEMO-PROD-001; facility DEMO-FAC-001</t>
  </si>
  <si>
    <t>Production date</t>
  </si>
  <si>
    <t>09:00 to 17:00 Asia/Kolkata</t>
  </si>
  <si>
    <t>Production</t>
  </si>
  <si>
    <t>Finished output</t>
  </si>
  <si>
    <t>Output excludes packaging mass</t>
  </si>
  <si>
    <t>Manufacturing scrap</t>
  </si>
  <si>
    <t>No emissions credit; record disposition</t>
  </si>
  <si>
    <t>Activity</t>
  </si>
  <si>
    <t>Electricity</t>
  </si>
  <si>
    <t>DEMO-ACT-001</t>
  </si>
  <si>
    <t>kWh</t>
  </si>
  <si>
    <t>Manual demo meter evidence</t>
  </si>
  <si>
    <t>Diesel</t>
  </si>
  <si>
    <t>DEMO-ACT-002</t>
  </si>
  <si>
    <t>L</t>
  </si>
  <si>
    <t>Manual demo fuel evidence</t>
  </si>
  <si>
    <t>Inbound freight</t>
  </si>
  <si>
    <t>DEMO-ACT-003</t>
  </si>
  <si>
    <t>tonne-km</t>
  </si>
  <si>
    <t>Manual demo transport evidence</t>
  </si>
  <si>
    <t>Outbound freight</t>
  </si>
  <si>
    <t>DEMO-ACT-004</t>
  </si>
  <si>
    <t>Shipment extension only</t>
  </si>
  <si>
    <t>Shipment</t>
  </si>
  <si>
    <t>Shipped quantity</t>
  </si>
  <si>
    <t>DEMO-SHIP-001</t>
  </si>
  <si>
    <t>Demo European Buyer; Germany</t>
  </si>
  <si>
    <t>Demo factors and calculated footprints</t>
  </si>
  <si>
    <t>Scope or boundary</t>
  </si>
  <si>
    <t>Activity unit</t>
  </si>
  <si>
    <t>Demo factor</t>
  </si>
  <si>
    <t>Factor unit</t>
  </si>
  <si>
    <t>Emissions kgCO2e</t>
  </si>
  <si>
    <t>Scope 1</t>
  </si>
  <si>
    <t>kgCO2e/L</t>
  </si>
  <si>
    <t>Scope 2</t>
  </si>
  <si>
    <t>kgCO2e/kWh</t>
  </si>
  <si>
    <t>Scope 3</t>
  </si>
  <si>
    <t>kgCO2e/kg</t>
  </si>
  <si>
    <t>kgCO2e/tonne-km</t>
  </si>
  <si>
    <t>Delivery extension</t>
  </si>
  <si>
    <t>Metric</t>
  </si>
  <si>
    <t>Calculated result</t>
  </si>
  <si>
    <t>Manufacturing total kgCO2e</t>
  </si>
  <si>
    <t>Finished output kg</t>
  </si>
  <si>
    <t>Manufacturing kgCO2e/kg</t>
  </si>
  <si>
    <t>Outbound logistics kgCO2e</t>
  </si>
  <si>
    <t>Delivery total kgCO2e</t>
  </si>
  <si>
    <t>Delivery kgCO2e/kg</t>
  </si>
  <si>
    <t>Scope 3 upstream kgCO2e</t>
  </si>
  <si>
    <t>Factor source: Synthetic PoC factor. Version DEMO-EF-v1. No real reporting use.</t>
  </si>
  <si>
    <t>Manufacturing boundary: cradle to plant gate. All activities allocated to this batch. No scrap credit.</t>
  </si>
  <si>
    <t>Review passport shipment and targets</t>
  </si>
  <si>
    <t>Area</t>
  </si>
  <si>
    <t>Field or action</t>
  </si>
  <si>
    <t>Dummy entry or instruction</t>
  </si>
  <si>
    <t>Expected result</t>
  </si>
  <si>
    <t>Origin and destination</t>
  </si>
  <si>
    <t>India; Germany</t>
  </si>
  <si>
    <t>Needs classification assessment</t>
  </si>
  <si>
    <t>Do not produce embedded emissions until classified and rules configured</t>
  </si>
  <si>
    <t>MRV</t>
  </si>
  <si>
    <t>Calculation version</t>
  </si>
  <si>
    <t>DEMO-PCF-v1</t>
  </si>
  <si>
    <t>Submit activity evidence, receipts, factors and assumptions</t>
  </si>
  <si>
    <t>Reviewer role</t>
  </si>
  <si>
    <t>Demo Verifier</t>
  </si>
  <si>
    <t>Operator cannot approve their calculation</t>
  </si>
  <si>
    <t>Decision comment</t>
  </si>
  <si>
    <t>Reviewed for PoC workflow testing using synthetic activity data and factors.</t>
  </si>
  <si>
    <t>Demo verified after actual review action</t>
  </si>
  <si>
    <t>Passport</t>
  </si>
  <si>
    <t>Passport ID</t>
  </si>
  <si>
    <t>DEMO-CP-001</t>
  </si>
  <si>
    <t>Issue only after readiness and approval</t>
  </si>
  <si>
    <t>Product and batch</t>
  </si>
  <si>
    <t>DEMO-PROD-001; DEMO-BATCH-001</t>
  </si>
  <si>
    <t>Links to approved calculation</t>
  </si>
  <si>
    <t>Manufacturing PCF</t>
  </si>
  <si>
    <t>kgCO2e/kg; cradle to plant gate</t>
  </si>
  <si>
    <t>Public QR</t>
  </si>
  <si>
    <t>Generate actual /verify/{token} URL in application</t>
  </si>
  <si>
    <t>Show current status without private evidence</t>
  </si>
  <si>
    <t>Inner pages</t>
  </si>
  <si>
    <t>Readiness; Preview; Sign and Issue; Registry; Detail; QR; Versions</t>
  </si>
  <si>
    <t>Version history and validity remain visible</t>
  </si>
  <si>
    <t>Shipment ID</t>
  </si>
  <si>
    <t>Link batch and issued passport</t>
  </si>
  <si>
    <t>Buyer and destination</t>
  </si>
  <si>
    <t>Customer export package</t>
  </si>
  <si>
    <t>kg; do not exceed available output</t>
  </si>
  <si>
    <t>Delivery intensity</t>
  </si>
  <si>
    <t>kgCO2e/kg; separate extended boundary</t>
  </si>
  <si>
    <t>Policy</t>
  </si>
  <si>
    <t>Applicability</t>
  </si>
  <si>
    <t>Generic manufactured goods; classification pending</t>
  </si>
  <si>
    <t>Unresolved requirements remain visible</t>
  </si>
  <si>
    <t>Baseline year</t>
  </si>
  <si>
    <t>Use selected baseline boundary</t>
  </si>
  <si>
    <t>Baseline intensity</t>
  </si>
  <si>
    <t>Target year</t>
  </si>
  <si>
    <t>Illustrative target</t>
  </si>
  <si>
    <t>Target intensity</t>
  </si>
  <si>
    <t>kgCO2e/kg; self-reported demo target</t>
  </si>
  <si>
    <t>Reduce electricity consumption</t>
  </si>
  <si>
    <t>Record project progress and evidence</t>
  </si>
  <si>
    <t>Completion expectation</t>
  </si>
  <si>
    <t>One company, plant, batch, approved calculation, passport and shipment</t>
  </si>
  <si>
    <t>Only show completed statuses after corresponding actions</t>
  </si>
  <si>
    <t>Evidence</t>
  </si>
  <si>
    <t>Upload instruction</t>
  </si>
  <si>
    <t>Use files labelled Synthetic invoice or reading for demo only</t>
  </si>
  <si>
    <t>This workbook does not perform application verification or issuance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</si>
</sst>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"/>
  </numFmts>
  <fonts count="5">
    <font>
      <sz val="11"/>
      <name val="Carlito"/>
    </font>
    <font>
      <sz val="11"/>
      <name val="Arial"/>
    </font>
    <font>
      <b/>
      <sz val="16"/>
      <name val="Arial"/>
    </font>
    <font>
      <b/>
      <sz val="11"/>
      <color rgb="FFFFFFFF"/>
      <name val="Arial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5F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4" fontId="1" fillId="4" borderId="0" xfId="0" applyNumberFormat="1" applyFont="1" applyFill="1" applyAlignment="1">
      <alignment vertical="center" wrapText="1"/>
    </xf>
    <xf numFmtId="4" fontId="1" fillId="5" borderId="0" xfId="0" applyNumberFormat="1" applyFont="1" applyFill="1" applyAlignment="1">
      <alignment vertical="center" wrapText="1"/>
    </xf>
    <xf numFmtId="0" fontId="4" fillId="2" borderId="0" xfId="0" applyFont="1" applyFill="1"/>
    <xf numFmtId="165" fontId="0" fillId="0" borderId="0" xfId="0" applyNumberFormat="1"/>
    <xf numFmtId="165" fontId="1" fillId="3" borderId="0" xfId="0" applyNumberFormat="1" applyFont="1" applyFill="1" applyAlignment="1">
      <alignment vertical="center" wrapText="1"/>
    </xf>
    <xf numFmtId="165" fontId="1" fillId="4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8" customWidth="1"/>
    <col min="2" max="2" width="25" customWidth="1"/>
    <col min="3" max="3" width="30" customWidth="1"/>
    <col min="4" max="4" width="62" customWidth="1"/>
    <col min="5" max="5" width="56" customWidth="1"/>
    <col min="6" max="6" width="25" customWidth="1"/>
    <col min="7" max="7" width="20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19.25" customHeight="1">
      <c r="A2" s="2" t="s">
        <v>0</v>
      </c>
      <c r="B2" s="1"/>
      <c r="C2" s="1"/>
      <c r="D2" s="1"/>
      <c r="E2" s="1"/>
      <c r="F2" s="1"/>
      <c r="G2" s="1"/>
    </row>
    <row r="3" spans="1:7" ht="15" customHeight="1">
      <c r="A3" s="1" t="s">
        <v>1</v>
      </c>
      <c r="B3" s="1"/>
      <c r="C3" s="1"/>
      <c r="D3" s="1"/>
      <c r="E3" s="1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15" customHeight="1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6" t="s">
        <v>15</v>
      </c>
    </row>
    <row r="7" spans="1:7" ht="15" customHeight="1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6" t="s">
        <v>15</v>
      </c>
    </row>
    <row r="8" spans="1:7" ht="15" customHeight="1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21</v>
      </c>
      <c r="G8" s="6" t="s">
        <v>15</v>
      </c>
    </row>
    <row r="9" spans="1:7" ht="15" customHeight="1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6" t="s">
        <v>15</v>
      </c>
    </row>
    <row r="10" spans="1:7" ht="15" customHeight="1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32</v>
      </c>
      <c r="G10" s="6" t="s">
        <v>15</v>
      </c>
    </row>
    <row r="11" spans="1:7" ht="15" customHeight="1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32</v>
      </c>
      <c r="G11" s="6" t="s">
        <v>15</v>
      </c>
    </row>
    <row r="12" spans="1:7" ht="15" customHeight="1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  <c r="G12" s="6" t="s">
        <v>15</v>
      </c>
    </row>
    <row r="13" spans="1:7" ht="15" customHeight="1">
      <c r="A13" s="4" t="s">
        <v>49</v>
      </c>
      <c r="B13" s="4" t="s">
        <v>50</v>
      </c>
      <c r="C13" s="4" t="s">
        <v>51</v>
      </c>
      <c r="D13" s="4" t="s">
        <v>52</v>
      </c>
      <c r="E13" s="4" t="s">
        <v>53</v>
      </c>
      <c r="F13" s="4" t="s">
        <v>48</v>
      </c>
      <c r="G13" s="6" t="s">
        <v>15</v>
      </c>
    </row>
    <row r="14" spans="1:7" ht="15" customHeight="1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58</v>
      </c>
      <c r="F14" s="5" t="s">
        <v>48</v>
      </c>
      <c r="G14" s="6" t="s">
        <v>15</v>
      </c>
    </row>
    <row r="15" spans="1:7" ht="15" customHeight="1">
      <c r="A15" s="4" t="s">
        <v>59</v>
      </c>
      <c r="B15" s="4" t="s">
        <v>17</v>
      </c>
      <c r="C15" s="4" t="s">
        <v>60</v>
      </c>
      <c r="D15" s="4" t="s">
        <v>61</v>
      </c>
      <c r="E15" s="4" t="s">
        <v>62</v>
      </c>
      <c r="F15" s="4" t="s">
        <v>48</v>
      </c>
      <c r="G15" s="6" t="s">
        <v>15</v>
      </c>
    </row>
    <row r="16" spans="1:7" ht="15" customHeight="1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32</v>
      </c>
      <c r="G16" s="6" t="s">
        <v>15</v>
      </c>
    </row>
    <row r="17" spans="1:7" ht="15" customHeight="1">
      <c r="A17" s="4" t="s">
        <v>68</v>
      </c>
      <c r="B17" s="4" t="s">
        <v>69</v>
      </c>
      <c r="C17" s="4" t="s">
        <v>70</v>
      </c>
      <c r="D17" s="4" t="s">
        <v>71</v>
      </c>
      <c r="E17" s="4" t="s">
        <v>72</v>
      </c>
      <c r="F17" s="4" t="s">
        <v>48</v>
      </c>
      <c r="G17" s="6" t="s">
        <v>15</v>
      </c>
    </row>
    <row r="18" spans="1:7" ht="15" customHeight="1">
      <c r="A18" s="5" t="s">
        <v>73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48</v>
      </c>
      <c r="G18" s="6" t="s">
        <v>15</v>
      </c>
    </row>
    <row r="19" spans="1:7" ht="26.4" customHeight="1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83</v>
      </c>
      <c r="G19" s="6" t="s">
        <v>15</v>
      </c>
    </row>
  </sheetData>
  <dataValidations count="1">
    <dataValidation type="list" sqref="G6:G19" xr:uid="{00000000-0002-0000-0000-000000000000}">
      <formula1>"Not started,In progress,Completed,Blocked"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18" customWidth="1"/>
    <col min="2" max="2" width="30" customWidth="1"/>
    <col min="3" max="3" width="75" customWidth="1"/>
  </cols>
  <sheetData>
    <row r="1" spans="1:3" ht="15" customHeight="1">
      <c r="A1" s="1"/>
      <c r="B1" s="1"/>
      <c r="C1" s="1"/>
    </row>
    <row r="2" spans="1:3" ht="19.25" customHeight="1">
      <c r="A2" s="2" t="s">
        <v>84</v>
      </c>
      <c r="B2" s="1"/>
      <c r="C2" s="1"/>
    </row>
    <row r="3" spans="1:3" ht="15" customHeight="1">
      <c r="A3" s="1" t="s">
        <v>1</v>
      </c>
      <c r="B3" s="1"/>
      <c r="C3" s="1"/>
    </row>
    <row r="4" spans="1:3" ht="15" customHeight="1">
      <c r="A4" s="1"/>
      <c r="B4" s="1"/>
      <c r="C4" s="1"/>
    </row>
    <row r="5" spans="1:3" ht="15" customHeight="1">
      <c r="A5" s="3" t="s">
        <v>85</v>
      </c>
      <c r="B5" s="3" t="s">
        <v>86</v>
      </c>
      <c r="C5" s="3" t="s">
        <v>87</v>
      </c>
    </row>
    <row r="6" spans="1:3" ht="15" customHeight="1">
      <c r="A6" s="5" t="s">
        <v>88</v>
      </c>
      <c r="B6" s="5" t="s">
        <v>89</v>
      </c>
      <c r="C6" s="6" t="s">
        <v>90</v>
      </c>
    </row>
    <row r="7" spans="1:3" ht="15" customHeight="1">
      <c r="A7" s="4" t="s">
        <v>88</v>
      </c>
      <c r="B7" s="4" t="s">
        <v>91</v>
      </c>
      <c r="C7" s="6" t="s">
        <v>92</v>
      </c>
    </row>
    <row r="8" spans="1:3" ht="15" customHeight="1">
      <c r="A8" s="5" t="s">
        <v>88</v>
      </c>
      <c r="B8" s="5" t="s">
        <v>93</v>
      </c>
      <c r="C8" s="6" t="s">
        <v>94</v>
      </c>
    </row>
    <row r="9" spans="1:3" ht="15" customHeight="1">
      <c r="A9" s="4" t="s">
        <v>88</v>
      </c>
      <c r="B9" s="4" t="s">
        <v>95</v>
      </c>
      <c r="C9" s="6" t="s">
        <v>96</v>
      </c>
    </row>
    <row r="10" spans="1:3" ht="15" customHeight="1">
      <c r="A10" s="5" t="s">
        <v>88</v>
      </c>
      <c r="B10" s="5" t="s">
        <v>97</v>
      </c>
      <c r="C10" s="6" t="s">
        <v>98</v>
      </c>
    </row>
    <row r="11" spans="1:3" ht="15" customHeight="1">
      <c r="A11" s="4" t="s">
        <v>88</v>
      </c>
      <c r="B11" s="4" t="s">
        <v>99</v>
      </c>
      <c r="C11" s="6" t="s">
        <v>100</v>
      </c>
    </row>
    <row r="12" spans="1:3" ht="15" customHeight="1">
      <c r="A12" s="5" t="s">
        <v>88</v>
      </c>
      <c r="B12" s="5" t="s">
        <v>101</v>
      </c>
      <c r="C12" s="6" t="s">
        <v>102</v>
      </c>
    </row>
    <row r="13" spans="1:3" ht="15" customHeight="1">
      <c r="A13" s="4" t="s">
        <v>88</v>
      </c>
      <c r="B13" s="4" t="s">
        <v>103</v>
      </c>
      <c r="C13" s="6" t="s">
        <v>104</v>
      </c>
    </row>
    <row r="14" spans="1:3" ht="15" customHeight="1">
      <c r="A14" s="5" t="s">
        <v>88</v>
      </c>
      <c r="B14" s="5" t="s">
        <v>105</v>
      </c>
      <c r="C14" s="6" t="s">
        <v>106</v>
      </c>
    </row>
    <row r="15" spans="1:3" ht="15" customHeight="1">
      <c r="A15" s="4" t="s">
        <v>88</v>
      </c>
      <c r="B15" s="4" t="s">
        <v>107</v>
      </c>
      <c r="C15" s="6">
        <v>2026</v>
      </c>
    </row>
    <row r="16" spans="1:3" ht="15" customHeight="1">
      <c r="A16" s="5" t="s">
        <v>88</v>
      </c>
      <c r="B16" s="5" t="s">
        <v>108</v>
      </c>
      <c r="C16" s="6" t="s">
        <v>109</v>
      </c>
    </row>
    <row r="17" spans="1:3" ht="15" customHeight="1">
      <c r="A17" s="4" t="s">
        <v>88</v>
      </c>
      <c r="B17" s="4" t="s">
        <v>110</v>
      </c>
      <c r="C17" s="6" t="s">
        <v>111</v>
      </c>
    </row>
    <row r="18" spans="1:3" ht="15" customHeight="1">
      <c r="A18" s="5" t="s">
        <v>112</v>
      </c>
      <c r="B18" s="5" t="s">
        <v>113</v>
      </c>
      <c r="C18" s="6" t="s">
        <v>114</v>
      </c>
    </row>
    <row r="19" spans="1:3" ht="15" customHeight="1">
      <c r="A19" s="4" t="s">
        <v>112</v>
      </c>
      <c r="B19" s="4" t="s">
        <v>115</v>
      </c>
      <c r="C19" s="6" t="s">
        <v>116</v>
      </c>
    </row>
    <row r="20" spans="1:3" ht="15" customHeight="1">
      <c r="A20" s="5" t="s">
        <v>112</v>
      </c>
      <c r="B20" s="5" t="s">
        <v>117</v>
      </c>
      <c r="C20" s="6" t="s">
        <v>118</v>
      </c>
    </row>
    <row r="21" spans="1:3" ht="15" customHeight="1">
      <c r="A21" s="4" t="s">
        <v>112</v>
      </c>
      <c r="B21" s="4" t="s">
        <v>119</v>
      </c>
      <c r="C21" s="6" t="s">
        <v>120</v>
      </c>
    </row>
    <row r="22" spans="1:3" ht="15" customHeight="1">
      <c r="A22" s="5" t="s">
        <v>112</v>
      </c>
      <c r="B22" s="5" t="s">
        <v>121</v>
      </c>
      <c r="C22" s="6" t="s">
        <v>122</v>
      </c>
    </row>
    <row r="23" spans="1:3" ht="15" customHeight="1">
      <c r="A23" s="4" t="s">
        <v>112</v>
      </c>
      <c r="B23" s="4" t="s">
        <v>123</v>
      </c>
      <c r="C23" s="6" t="s">
        <v>124</v>
      </c>
    </row>
    <row r="24" spans="1:3" ht="15" customHeight="1">
      <c r="A24" s="5" t="s">
        <v>125</v>
      </c>
      <c r="B24" s="5" t="s">
        <v>126</v>
      </c>
      <c r="C24" s="6" t="s">
        <v>127</v>
      </c>
    </row>
    <row r="25" spans="1:3" ht="15" customHeight="1">
      <c r="A25" s="4" t="s">
        <v>125</v>
      </c>
      <c r="B25" s="4" t="s">
        <v>128</v>
      </c>
      <c r="C25" s="6" t="s">
        <v>129</v>
      </c>
    </row>
    <row r="26" spans="1:3" ht="15" customHeight="1">
      <c r="A26" s="5" t="s">
        <v>125</v>
      </c>
      <c r="B26" s="5" t="s">
        <v>130</v>
      </c>
      <c r="C26" s="6" t="s">
        <v>131</v>
      </c>
    </row>
    <row r="27" spans="1:3" ht="15" customHeight="1">
      <c r="A27" s="4" t="s">
        <v>125</v>
      </c>
      <c r="B27" s="4" t="s">
        <v>132</v>
      </c>
      <c r="C27" s="6" t="s">
        <v>133</v>
      </c>
    </row>
    <row r="28" spans="1:3" ht="15" customHeight="1">
      <c r="A28" s="5" t="s">
        <v>125</v>
      </c>
      <c r="B28" s="5" t="s">
        <v>134</v>
      </c>
      <c r="C28" s="6" t="s">
        <v>135</v>
      </c>
    </row>
    <row r="29" spans="1:3" ht="15" customHeight="1">
      <c r="A29" s="4" t="s">
        <v>125</v>
      </c>
      <c r="B29" s="4" t="s">
        <v>136</v>
      </c>
      <c r="C29" s="6" t="s">
        <v>137</v>
      </c>
    </row>
    <row r="30" spans="1:3" ht="15" customHeight="1">
      <c r="A30" s="5" t="s">
        <v>125</v>
      </c>
      <c r="B30" s="5" t="s">
        <v>138</v>
      </c>
      <c r="C30" s="6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5F8F-B201-4253-98E2-0688863B19DF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18" customWidth="1"/>
    <col min="2" max="2" width="31" customWidth="1"/>
    <col min="3" max="3" width="26" customWidth="1"/>
    <col min="4" max="4" width="16" customWidth="1"/>
    <col min="5" max="5" width="18" customWidth="1"/>
    <col min="6" max="6" width="62" customWidth="1"/>
  </cols>
  <sheetData>
    <row r="1" spans="1:6" ht="15" customHeight="1">
      <c r="A1" s="1"/>
      <c r="B1" s="1"/>
      <c r="C1" s="1"/>
      <c r="D1" s="1"/>
      <c r="E1" s="1"/>
      <c r="F1" s="1"/>
    </row>
    <row r="2" spans="1:6" ht="19.25" customHeight="1">
      <c r="A2" s="2" t="s">
        <v>140</v>
      </c>
      <c r="B2" s="1"/>
      <c r="C2" s="1"/>
      <c r="D2" s="1"/>
      <c r="E2" s="1"/>
      <c r="F2" s="1"/>
    </row>
    <row r="3" spans="1:6" ht="15" customHeight="1">
      <c r="A3" s="1" t="s">
        <v>1</v>
      </c>
      <c r="B3" s="1"/>
      <c r="C3" s="1"/>
      <c r="D3" s="1"/>
      <c r="E3" s="1"/>
      <c r="F3" s="1"/>
    </row>
    <row r="4" spans="1:6" ht="15" customHeight="1">
      <c r="A4" s="1"/>
      <c r="B4" s="1"/>
      <c r="C4" s="1"/>
      <c r="D4" s="1"/>
      <c r="E4" s="1"/>
      <c r="F4" s="1"/>
    </row>
    <row r="5" spans="1:6" ht="15" customHeight="1">
      <c r="A5" s="3" t="s">
        <v>85</v>
      </c>
      <c r="B5" s="3" t="s">
        <v>141</v>
      </c>
      <c r="C5" s="3" t="s">
        <v>142</v>
      </c>
      <c r="D5" s="3" t="s">
        <v>143</v>
      </c>
      <c r="E5" s="3" t="s">
        <v>132</v>
      </c>
      <c r="F5" s="3" t="s">
        <v>144</v>
      </c>
    </row>
    <row r="6" spans="1:6" ht="15" customHeight="1">
      <c r="A6" s="5" t="s">
        <v>145</v>
      </c>
      <c r="B6" s="5" t="s">
        <v>146</v>
      </c>
      <c r="C6" s="5" t="s">
        <v>147</v>
      </c>
      <c r="D6" s="8">
        <v>1200</v>
      </c>
      <c r="E6" s="5" t="s">
        <v>133</v>
      </c>
      <c r="F6" s="5" t="s">
        <v>148</v>
      </c>
    </row>
    <row r="7" spans="1:6" ht="15" customHeight="1">
      <c r="A7" s="4" t="s">
        <v>145</v>
      </c>
      <c r="B7" s="4" t="s">
        <v>149</v>
      </c>
      <c r="C7" s="4" t="s">
        <v>150</v>
      </c>
      <c r="D7" s="8">
        <v>50</v>
      </c>
      <c r="E7" s="4" t="s">
        <v>133</v>
      </c>
      <c r="F7" s="4" t="s">
        <v>151</v>
      </c>
    </row>
    <row r="8" spans="1:6" ht="15" customHeight="1">
      <c r="A8" s="5" t="s">
        <v>152</v>
      </c>
      <c r="B8" s="5" t="s">
        <v>153</v>
      </c>
      <c r="C8" s="5" t="s">
        <v>147</v>
      </c>
      <c r="D8" s="8">
        <v>1100</v>
      </c>
      <c r="E8" s="5" t="s">
        <v>133</v>
      </c>
      <c r="F8" s="5" t="s">
        <v>154</v>
      </c>
    </row>
    <row r="9" spans="1:6" ht="15" customHeight="1">
      <c r="A9" s="4" t="s">
        <v>152</v>
      </c>
      <c r="B9" s="4" t="s">
        <v>155</v>
      </c>
      <c r="C9" s="4" t="s">
        <v>150</v>
      </c>
      <c r="D9" s="8">
        <v>50</v>
      </c>
      <c r="E9" s="4" t="s">
        <v>133</v>
      </c>
      <c r="F9" s="4" t="s">
        <v>154</v>
      </c>
    </row>
    <row r="10" spans="1:6" ht="15" customHeight="1">
      <c r="A10" s="5" t="s">
        <v>156</v>
      </c>
      <c r="B10" s="5" t="s">
        <v>157</v>
      </c>
      <c r="C10" s="5" t="s">
        <v>147</v>
      </c>
      <c r="D10" s="9">
        <f>D6-D8</f>
        <v>100</v>
      </c>
      <c r="E10" s="5" t="s">
        <v>133</v>
      </c>
      <c r="F10" s="5" t="s">
        <v>158</v>
      </c>
    </row>
    <row r="11" spans="1:6" ht="15" customHeight="1">
      <c r="A11" s="4" t="s">
        <v>156</v>
      </c>
      <c r="B11" s="4" t="s">
        <v>159</v>
      </c>
      <c r="C11" s="4" t="s">
        <v>150</v>
      </c>
      <c r="D11" s="9">
        <f>D7-D9</f>
        <v>0</v>
      </c>
      <c r="E11" s="4" t="s">
        <v>133</v>
      </c>
      <c r="F11" s="4" t="s">
        <v>158</v>
      </c>
    </row>
    <row r="12" spans="1:6" ht="15" customHeight="1">
      <c r="A12" s="5" t="s">
        <v>160</v>
      </c>
      <c r="B12" s="5" t="s">
        <v>161</v>
      </c>
      <c r="C12" s="5" t="s">
        <v>162</v>
      </c>
      <c r="D12" s="8"/>
      <c r="E12" s="5"/>
      <c r="F12" s="5" t="s">
        <v>163</v>
      </c>
    </row>
    <row r="13" spans="1:6" ht="15" customHeight="1">
      <c r="A13" s="4" t="s">
        <v>160</v>
      </c>
      <c r="B13" s="4" t="s">
        <v>164</v>
      </c>
      <c r="C13" s="7">
        <v>46301</v>
      </c>
      <c r="D13" s="8"/>
      <c r="E13" s="4"/>
      <c r="F13" s="4" t="s">
        <v>165</v>
      </c>
    </row>
    <row r="14" spans="1:6" ht="15" customHeight="1">
      <c r="A14" s="5" t="s">
        <v>166</v>
      </c>
      <c r="B14" s="5" t="s">
        <v>167</v>
      </c>
      <c r="C14" s="5" t="s">
        <v>162</v>
      </c>
      <c r="D14" s="8">
        <v>1000</v>
      </c>
      <c r="E14" s="5" t="s">
        <v>133</v>
      </c>
      <c r="F14" s="5" t="s">
        <v>168</v>
      </c>
    </row>
    <row r="15" spans="1:6" ht="15" customHeight="1">
      <c r="A15" s="4" t="s">
        <v>166</v>
      </c>
      <c r="B15" s="4" t="s">
        <v>169</v>
      </c>
      <c r="C15" s="4" t="s">
        <v>162</v>
      </c>
      <c r="D15" s="8">
        <v>100</v>
      </c>
      <c r="E15" s="4" t="s">
        <v>133</v>
      </c>
      <c r="F15" s="4" t="s">
        <v>170</v>
      </c>
    </row>
    <row r="16" spans="1:6" ht="15" customHeight="1">
      <c r="A16" s="5" t="s">
        <v>171</v>
      </c>
      <c r="B16" s="5" t="s">
        <v>172</v>
      </c>
      <c r="C16" s="5" t="s">
        <v>173</v>
      </c>
      <c r="D16" s="8">
        <v>1000</v>
      </c>
      <c r="E16" s="5" t="s">
        <v>174</v>
      </c>
      <c r="F16" s="5" t="s">
        <v>175</v>
      </c>
    </row>
    <row r="17" spans="1:6" ht="15" customHeight="1">
      <c r="A17" s="4" t="s">
        <v>171</v>
      </c>
      <c r="B17" s="4" t="s">
        <v>176</v>
      </c>
      <c r="C17" s="4" t="s">
        <v>177</v>
      </c>
      <c r="D17" s="8">
        <v>20</v>
      </c>
      <c r="E17" s="4" t="s">
        <v>178</v>
      </c>
      <c r="F17" s="4" t="s">
        <v>179</v>
      </c>
    </row>
    <row r="18" spans="1:6" ht="15" customHeight="1">
      <c r="A18" s="5" t="s">
        <v>171</v>
      </c>
      <c r="B18" s="5" t="s">
        <v>180</v>
      </c>
      <c r="C18" s="5" t="s">
        <v>181</v>
      </c>
      <c r="D18" s="8">
        <v>220</v>
      </c>
      <c r="E18" s="5" t="s">
        <v>182</v>
      </c>
      <c r="F18" s="5" t="s">
        <v>183</v>
      </c>
    </row>
    <row r="19" spans="1:6" ht="15" customHeight="1">
      <c r="A19" s="4" t="s">
        <v>171</v>
      </c>
      <c r="B19" s="4" t="s">
        <v>184</v>
      </c>
      <c r="C19" s="4" t="s">
        <v>185</v>
      </c>
      <c r="D19" s="8">
        <v>500</v>
      </c>
      <c r="E19" s="4" t="s">
        <v>182</v>
      </c>
      <c r="F19" s="4" t="s">
        <v>186</v>
      </c>
    </row>
    <row r="20" spans="1:6" ht="15" customHeight="1">
      <c r="A20" s="5" t="s">
        <v>187</v>
      </c>
      <c r="B20" s="5" t="s">
        <v>188</v>
      </c>
      <c r="C20" s="5" t="s">
        <v>189</v>
      </c>
      <c r="D20" s="8">
        <v>1000</v>
      </c>
      <c r="E20" s="5" t="s">
        <v>133</v>
      </c>
      <c r="F20" s="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29" customWidth="1"/>
    <col min="2" max="2" width="25" customWidth="1"/>
    <col min="3" max="3" width="16" customWidth="1"/>
    <col min="4" max="4" width="18" customWidth="1"/>
    <col min="5" max="5" width="16" customWidth="1"/>
    <col min="6" max="6" width="27" customWidth="1"/>
    <col min="7" max="7" width="24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19.25" customHeight="1">
      <c r="A2" s="2" t="s">
        <v>191</v>
      </c>
      <c r="B2" s="1"/>
      <c r="C2" s="1"/>
      <c r="D2" s="1"/>
      <c r="E2" s="1"/>
      <c r="F2" s="1"/>
      <c r="G2" s="1"/>
    </row>
    <row r="3" spans="1:7" ht="15" customHeight="1">
      <c r="A3" s="1" t="s">
        <v>1</v>
      </c>
      <c r="B3" s="1"/>
      <c r="C3" s="1"/>
      <c r="D3" s="1"/>
      <c r="E3" s="1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3" t="s">
        <v>171</v>
      </c>
      <c r="B5" s="3" t="s">
        <v>192</v>
      </c>
      <c r="C5" s="3" t="s">
        <v>143</v>
      </c>
      <c r="D5" s="3" t="s">
        <v>193</v>
      </c>
      <c r="E5" s="3" t="s">
        <v>194</v>
      </c>
      <c r="F5" s="3" t="s">
        <v>195</v>
      </c>
      <c r="G5" s="3" t="s">
        <v>196</v>
      </c>
    </row>
    <row r="6" spans="1:7" ht="15" customHeight="1">
      <c r="A6" s="5" t="s">
        <v>176</v>
      </c>
      <c r="B6" s="5" t="s">
        <v>197</v>
      </c>
      <c r="C6" s="12">
        <f>'Materials and Batch'!D17</f>
        <v>20</v>
      </c>
      <c r="D6" s="12" t="s">
        <v>178</v>
      </c>
      <c r="E6" s="13">
        <v>2.5</v>
      </c>
      <c r="F6" s="12" t="s">
        <v>198</v>
      </c>
      <c r="G6" s="12">
        <f t="shared" ref="G6:G11" si="0">IF(OR(C6="",E6=""),"Missing input",C6*E6)</f>
        <v>50</v>
      </c>
    </row>
    <row r="7" spans="1:7" ht="15" customHeight="1">
      <c r="A7" s="4" t="s">
        <v>172</v>
      </c>
      <c r="B7" s="4" t="s">
        <v>199</v>
      </c>
      <c r="C7" s="14">
        <f>'Materials and Batch'!D16</f>
        <v>1000</v>
      </c>
      <c r="D7" s="14" t="s">
        <v>174</v>
      </c>
      <c r="E7" s="13">
        <v>0.7</v>
      </c>
      <c r="F7" s="14" t="s">
        <v>200</v>
      </c>
      <c r="G7" s="14">
        <f t="shared" si="0"/>
        <v>700</v>
      </c>
    </row>
    <row r="8" spans="1:7" ht="15" customHeight="1">
      <c r="A8" s="5" t="s">
        <v>153</v>
      </c>
      <c r="B8" s="5" t="s">
        <v>201</v>
      </c>
      <c r="C8" s="12">
        <f>'Materials and Batch'!D8</f>
        <v>1100</v>
      </c>
      <c r="D8" s="12" t="s">
        <v>133</v>
      </c>
      <c r="E8" s="13">
        <v>0.4</v>
      </c>
      <c r="F8" s="12" t="s">
        <v>202</v>
      </c>
      <c r="G8" s="12">
        <f t="shared" si="0"/>
        <v>440</v>
      </c>
    </row>
    <row r="9" spans="1:7" ht="15" customHeight="1">
      <c r="A9" s="4" t="s">
        <v>155</v>
      </c>
      <c r="B9" s="4" t="s">
        <v>201</v>
      </c>
      <c r="C9" s="14">
        <f>'Materials and Batch'!D9</f>
        <v>50</v>
      </c>
      <c r="D9" s="14" t="s">
        <v>133</v>
      </c>
      <c r="E9" s="13">
        <v>0.2</v>
      </c>
      <c r="F9" s="14" t="s">
        <v>202</v>
      </c>
      <c r="G9" s="14">
        <f t="shared" si="0"/>
        <v>10</v>
      </c>
    </row>
    <row r="10" spans="1:7" ht="15" customHeight="1">
      <c r="A10" s="5" t="s">
        <v>180</v>
      </c>
      <c r="B10" s="5" t="s">
        <v>201</v>
      </c>
      <c r="C10" s="12">
        <f>'Materials and Batch'!D18</f>
        <v>220</v>
      </c>
      <c r="D10" s="12" t="s">
        <v>182</v>
      </c>
      <c r="E10" s="13">
        <v>0.1</v>
      </c>
      <c r="F10" s="12" t="s">
        <v>203</v>
      </c>
      <c r="G10" s="12">
        <f t="shared" si="0"/>
        <v>22</v>
      </c>
    </row>
    <row r="11" spans="1:7" ht="15" customHeight="1">
      <c r="A11" s="4" t="s">
        <v>184</v>
      </c>
      <c r="B11" s="4" t="s">
        <v>204</v>
      </c>
      <c r="C11" s="14">
        <f>'Materials and Batch'!D19</f>
        <v>500</v>
      </c>
      <c r="D11" s="14" t="s">
        <v>182</v>
      </c>
      <c r="E11" s="13">
        <v>0.1</v>
      </c>
      <c r="F11" s="14" t="s">
        <v>203</v>
      </c>
      <c r="G11" s="14">
        <f t="shared" si="0"/>
        <v>50</v>
      </c>
    </row>
    <row r="14" spans="1:7" ht="15" customHeight="1">
      <c r="A14" s="10" t="s">
        <v>205</v>
      </c>
      <c r="B14" s="10" t="s">
        <v>206</v>
      </c>
    </row>
    <row r="15" spans="1:7" ht="15" customHeight="1">
      <c r="A15" t="s">
        <v>207</v>
      </c>
      <c r="B15" s="11">
        <f>IF(COUNT(G6:G10)=5,SUM(G6:G10),"Missing input")</f>
        <v>1222</v>
      </c>
    </row>
    <row r="16" spans="1:7" ht="15" customHeight="1">
      <c r="A16" t="s">
        <v>208</v>
      </c>
      <c r="B16" s="11">
        <f>'Materials and Batch'!D14</f>
        <v>1000</v>
      </c>
    </row>
    <row r="17" spans="1:2" ht="15" customHeight="1">
      <c r="A17" t="s">
        <v>209</v>
      </c>
      <c r="B17" s="11">
        <f>IF(AND(ISNUMBER(B15),ISNUMBER(B16),B16&gt;0),B15/B16,"Missing or invalid output")</f>
        <v>1.222</v>
      </c>
    </row>
    <row r="18" spans="1:2" ht="15" customHeight="1">
      <c r="A18" t="s">
        <v>210</v>
      </c>
      <c r="B18" s="11">
        <f>G11</f>
        <v>50</v>
      </c>
    </row>
    <row r="19" spans="1:2" ht="15" customHeight="1">
      <c r="A19" t="s">
        <v>211</v>
      </c>
      <c r="B19" s="11">
        <f>IF(AND(ISNUMBER(B15),ISNUMBER(B18)),B15+B18,"Missing input")</f>
        <v>1272</v>
      </c>
    </row>
    <row r="20" spans="1:2" ht="15" customHeight="1">
      <c r="A20" t="s">
        <v>212</v>
      </c>
      <c r="B20" s="11">
        <f>IF(AND(ISNUMBER(B19),ISNUMBER(B16),B16&gt;0),B19/B16,"Missing or invalid output")</f>
        <v>1.272</v>
      </c>
    </row>
    <row r="21" spans="1:2" ht="15" customHeight="1">
      <c r="A21" t="s">
        <v>213</v>
      </c>
      <c r="B21" s="11">
        <f>IF(COUNT(G8:G10)=3,SUM(G8:G10),"Missing input")</f>
        <v>472</v>
      </c>
    </row>
    <row r="24" spans="1:2" ht="15" customHeight="1">
      <c r="A24" t="s">
        <v>214</v>
      </c>
    </row>
    <row r="25" spans="1:2" ht="15" customHeight="1">
      <c r="A25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showGridLines="0" tabSelected="1" workbookViewId="0">
      <pane ySplit="5" topLeftCell="A6" activePane="bottomLeft" state="frozen"/>
      <selection pane="bottomLeft"/>
    </sheetView>
  </sheetViews>
  <sheetFormatPr defaultRowHeight="14"/>
  <cols>
    <col min="1" max="1" width="22" customWidth="1"/>
    <col min="2" max="2" width="31" customWidth="1"/>
    <col min="3" max="3" width="66" customWidth="1"/>
    <col min="4" max="4" width="65" customWidth="1"/>
  </cols>
  <sheetData>
    <row r="1" spans="1:4" ht="15" customHeight="1">
      <c r="A1" s="1"/>
      <c r="B1" s="1"/>
      <c r="C1" s="1"/>
      <c r="D1" s="1"/>
    </row>
    <row r="2" spans="1:4" ht="19.25" customHeight="1">
      <c r="A2" s="2" t="s">
        <v>216</v>
      </c>
      <c r="B2" s="1"/>
      <c r="C2" s="1"/>
      <c r="D2" s="1"/>
    </row>
    <row r="3" spans="1:4" ht="15" customHeight="1">
      <c r="A3" s="1" t="s">
        <v>1</v>
      </c>
      <c r="B3" s="1"/>
      <c r="C3" s="1"/>
      <c r="D3" s="1"/>
    </row>
    <row r="4" spans="1:4" ht="15" customHeight="1">
      <c r="A4" s="1"/>
      <c r="B4" s="1"/>
      <c r="C4" s="1"/>
      <c r="D4" s="1"/>
    </row>
    <row r="5" spans="1:4" ht="15" customHeight="1">
      <c r="A5" s="3" t="s">
        <v>217</v>
      </c>
      <c r="B5" s="3" t="s">
        <v>218</v>
      </c>
      <c r="C5" s="3" t="s">
        <v>219</v>
      </c>
      <c r="D5" s="3" t="s">
        <v>220</v>
      </c>
    </row>
    <row r="6" spans="1:4" ht="15" customHeight="1">
      <c r="A6" s="5" t="s">
        <v>44</v>
      </c>
      <c r="B6" s="5" t="s">
        <v>221</v>
      </c>
      <c r="C6" s="5" t="s">
        <v>222</v>
      </c>
      <c r="D6" s="5" t="s">
        <v>223</v>
      </c>
    </row>
    <row r="7" spans="1:4" ht="15" customHeight="1">
      <c r="A7" s="4" t="s">
        <v>44</v>
      </c>
      <c r="B7" s="4" t="s">
        <v>136</v>
      </c>
      <c r="C7" s="4" t="s">
        <v>137</v>
      </c>
      <c r="D7" s="4" t="s">
        <v>224</v>
      </c>
    </row>
    <row r="8" spans="1:4" ht="15" customHeight="1">
      <c r="A8" s="5" t="s">
        <v>225</v>
      </c>
      <c r="B8" s="5" t="s">
        <v>226</v>
      </c>
      <c r="C8" s="5" t="s">
        <v>227</v>
      </c>
      <c r="D8" s="5" t="s">
        <v>228</v>
      </c>
    </row>
    <row r="9" spans="1:4" ht="15" customHeight="1">
      <c r="A9" s="4" t="s">
        <v>225</v>
      </c>
      <c r="B9" s="4" t="s">
        <v>229</v>
      </c>
      <c r="C9" s="4" t="s">
        <v>230</v>
      </c>
      <c r="D9" s="4" t="s">
        <v>231</v>
      </c>
    </row>
    <row r="10" spans="1:4" ht="15" customHeight="1">
      <c r="A10" s="5" t="s">
        <v>225</v>
      </c>
      <c r="B10" s="5" t="s">
        <v>232</v>
      </c>
      <c r="C10" s="5" t="s">
        <v>233</v>
      </c>
      <c r="D10" s="5" t="s">
        <v>234</v>
      </c>
    </row>
    <row r="11" spans="1:4" ht="15" customHeight="1">
      <c r="A11" s="4" t="s">
        <v>235</v>
      </c>
      <c r="B11" s="4" t="s">
        <v>236</v>
      </c>
      <c r="C11" s="4" t="s">
        <v>237</v>
      </c>
      <c r="D11" s="4" t="s">
        <v>238</v>
      </c>
    </row>
    <row r="12" spans="1:4" ht="15" customHeight="1">
      <c r="A12" s="5" t="s">
        <v>235</v>
      </c>
      <c r="B12" s="5" t="s">
        <v>239</v>
      </c>
      <c r="C12" s="5" t="s">
        <v>240</v>
      </c>
      <c r="D12" s="5" t="s">
        <v>241</v>
      </c>
    </row>
    <row r="13" spans="1:4" ht="15" customHeight="1">
      <c r="A13" s="4" t="s">
        <v>235</v>
      </c>
      <c r="B13" s="4" t="s">
        <v>242</v>
      </c>
      <c r="C13" s="4">
        <f>Emissions!B17</f>
        <v>1.222</v>
      </c>
      <c r="D13" s="4" t="s">
        <v>243</v>
      </c>
    </row>
    <row r="14" spans="1:4" ht="15" customHeight="1">
      <c r="A14" s="5" t="s">
        <v>235</v>
      </c>
      <c r="B14" s="5" t="s">
        <v>244</v>
      </c>
      <c r="C14" s="5" t="s">
        <v>245</v>
      </c>
      <c r="D14" s="5" t="s">
        <v>246</v>
      </c>
    </row>
    <row r="15" spans="1:4" ht="15" customHeight="1">
      <c r="A15" s="4" t="s">
        <v>235</v>
      </c>
      <c r="B15" s="4" t="s">
        <v>247</v>
      </c>
      <c r="C15" s="4" t="s">
        <v>248</v>
      </c>
      <c r="D15" s="4" t="s">
        <v>249</v>
      </c>
    </row>
    <row r="16" spans="1:4" ht="15" customHeight="1">
      <c r="A16" s="5" t="s">
        <v>187</v>
      </c>
      <c r="B16" s="5" t="s">
        <v>250</v>
      </c>
      <c r="C16" s="5" t="s">
        <v>189</v>
      </c>
      <c r="D16" s="5" t="s">
        <v>251</v>
      </c>
    </row>
    <row r="17" spans="1:4" ht="15" customHeight="1">
      <c r="A17" s="4" t="s">
        <v>187</v>
      </c>
      <c r="B17" s="4" t="s">
        <v>252</v>
      </c>
      <c r="C17" s="4" t="s">
        <v>190</v>
      </c>
      <c r="D17" s="4" t="s">
        <v>253</v>
      </c>
    </row>
    <row r="18" spans="1:4" ht="15" customHeight="1">
      <c r="A18" s="5" t="s">
        <v>187</v>
      </c>
      <c r="B18" s="5" t="s">
        <v>143</v>
      </c>
      <c r="C18" s="5">
        <f>'Materials and Batch'!D20</f>
        <v>1000</v>
      </c>
      <c r="D18" s="5" t="s">
        <v>254</v>
      </c>
    </row>
    <row r="19" spans="1:4" ht="15" customHeight="1">
      <c r="A19" s="4" t="s">
        <v>187</v>
      </c>
      <c r="B19" s="4" t="s">
        <v>255</v>
      </c>
      <c r="C19" s="4">
        <f>Emissions!B20</f>
        <v>1.272</v>
      </c>
      <c r="D19" s="4" t="s">
        <v>256</v>
      </c>
    </row>
    <row r="20" spans="1:4" ht="15" customHeight="1">
      <c r="A20" s="5" t="s">
        <v>257</v>
      </c>
      <c r="B20" s="5" t="s">
        <v>258</v>
      </c>
      <c r="C20" s="5" t="s">
        <v>259</v>
      </c>
      <c r="D20" s="5" t="s">
        <v>260</v>
      </c>
    </row>
    <row r="21" spans="1:4" ht="15" customHeight="1">
      <c r="A21" s="4" t="s">
        <v>74</v>
      </c>
      <c r="B21" s="4" t="s">
        <v>261</v>
      </c>
      <c r="C21" s="4">
        <v>2026</v>
      </c>
      <c r="D21" s="4" t="s">
        <v>262</v>
      </c>
    </row>
    <row r="22" spans="1:4" ht="15" customHeight="1">
      <c r="A22" s="5" t="s">
        <v>74</v>
      </c>
      <c r="B22" s="5" t="s">
        <v>263</v>
      </c>
      <c r="C22" s="5">
        <f>Emissions!B17</f>
        <v>1.222</v>
      </c>
      <c r="D22" s="5" t="s">
        <v>202</v>
      </c>
    </row>
    <row r="23" spans="1:4" ht="15" customHeight="1">
      <c r="A23" s="4" t="s">
        <v>74</v>
      </c>
      <c r="B23" s="4" t="s">
        <v>264</v>
      </c>
      <c r="C23" s="4">
        <v>2030</v>
      </c>
      <c r="D23" s="4" t="s">
        <v>265</v>
      </c>
    </row>
    <row r="24" spans="1:4" ht="15" customHeight="1">
      <c r="A24" s="5" t="s">
        <v>74</v>
      </c>
      <c r="B24" s="5" t="s">
        <v>266</v>
      </c>
      <c r="C24" s="6">
        <v>1</v>
      </c>
      <c r="D24" s="5" t="s">
        <v>267</v>
      </c>
    </row>
    <row r="25" spans="1:4" ht="15" customHeight="1">
      <c r="A25" s="4" t="s">
        <v>74</v>
      </c>
      <c r="B25" s="4" t="s">
        <v>4</v>
      </c>
      <c r="C25" s="4" t="s">
        <v>268</v>
      </c>
      <c r="D25" s="4" t="s">
        <v>269</v>
      </c>
    </row>
    <row r="26" spans="1:4" ht="15" customHeight="1">
      <c r="A26" s="5" t="s">
        <v>79</v>
      </c>
      <c r="B26" s="5" t="s">
        <v>270</v>
      </c>
      <c r="C26" s="5" t="s">
        <v>271</v>
      </c>
      <c r="D26" s="5" t="s">
        <v>272</v>
      </c>
    </row>
    <row r="27" spans="1:4" ht="15" customHeight="1">
      <c r="A27" s="4" t="s">
        <v>273</v>
      </c>
      <c r="B27" s="4" t="s">
        <v>274</v>
      </c>
      <c r="C27" s="4" t="s">
        <v>275</v>
      </c>
      <c r="D27" s="4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 Flow</vt:lpstr>
      <vt:lpstr>Company Setup</vt:lpstr>
      <vt:lpstr>Sheet2</vt:lpstr>
      <vt:lpstr>Materials and Batch</vt:lpstr>
      <vt:lpstr>Emissions</vt:lpstr>
      <vt:lpstr>Review and Shipment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Bridge</cp:lastModifiedBy>
  <dcterms:modified xsi:type="dcterms:W3CDTF">2026-10-06T16:22:12Z</dcterms:modified>
</cp:coreProperties>
</file>